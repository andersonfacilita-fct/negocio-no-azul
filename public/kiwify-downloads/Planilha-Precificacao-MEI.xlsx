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cificacao ME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0"/>
    </font>
    <font>
      <b val="1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i val="1"/>
      <color rgb="00777777"/>
      <sz val="9"/>
    </font>
    <font>
      <name val="Calibri"/>
      <b val="1"/>
      <sz val="10"/>
    </font>
    <font>
      <sz val="9"/>
    </font>
    <font>
      <b val="1"/>
      <color rgb="001F3B5C"/>
      <sz val="9"/>
    </font>
    <font>
      <i val="1"/>
      <color rgb="00999999"/>
      <sz val="8"/>
    </font>
  </fonts>
  <fills count="6">
    <fill>
      <patternFill/>
    </fill>
    <fill>
      <patternFill patternType="gray125"/>
    </fill>
    <fill>
      <patternFill patternType="solid">
        <fgColor rgb="001F3B5C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26B1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1" pivotButton="0" quotePrefix="0" xfId="0"/>
    <xf numFmtId="0" fontId="3" fillId="4" borderId="1" pivotButton="0" quotePrefix="0" xfId="0"/>
    <xf numFmtId="0" fontId="4" fillId="5" borderId="0" applyAlignment="1" pivotButton="0" quotePrefix="0" xfId="0">
      <alignment vertical="center"/>
    </xf>
    <xf numFmtId="0" fontId="5" fillId="2" borderId="1" pivotButton="0" quotePrefix="0" xfId="0"/>
    <xf numFmtId="0" fontId="6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164" fontId="6" fillId="3" borderId="1" applyAlignment="1" pivotButton="0" quotePrefix="0" xfId="0">
      <alignment vertical="center"/>
    </xf>
    <xf numFmtId="0" fontId="7" fillId="0" borderId="1" applyAlignment="1" pivotButton="0" quotePrefix="0" xfId="0">
      <alignment vertical="center" wrapText="1"/>
    </xf>
    <xf numFmtId="0" fontId="8" fillId="0" borderId="1" applyAlignment="1" pivotButton="0" quotePrefix="0" xfId="0">
      <alignment vertical="center"/>
    </xf>
    <xf numFmtId="164" fontId="8" fillId="4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9" fontId="6" fillId="3" borderId="1" applyAlignment="1" pivotButton="0" quotePrefix="0" xfId="0">
      <alignment vertical="center"/>
    </xf>
    <xf numFmtId="1" fontId="8" fillId="4" borderId="1" applyAlignment="1" pivotButton="0" quotePrefix="0" xfId="0">
      <alignment vertical="center"/>
    </xf>
    <xf numFmtId="1" fontId="6" fillId="3" borderId="1" applyAlignment="1" pivotButton="0" quotePrefix="0" xfId="0">
      <alignment vertical="center"/>
    </xf>
    <xf numFmtId="0" fontId="6" fillId="0" borderId="1" pivotButton="0" quotePrefix="0" xfId="0"/>
    <xf numFmtId="0" fontId="9" fillId="0" borderId="0" applyAlignment="1" pivotButton="0" quotePrefix="0" xfId="0">
      <alignment wrapText="1"/>
    </xf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46" customWidth="1" min="2" max="2"/>
    <col width="16" customWidth="1" min="3" max="3"/>
    <col width="40" customWidth="1" min="4" max="4"/>
  </cols>
  <sheetData>
    <row r="1" ht="30" customHeight="1">
      <c r="A1" s="1" t="inlineStr">
        <is>
          <t>PLANILHA DE PRECIFICAÇÃO MEI  ·  Negócio no Azul</t>
        </is>
      </c>
    </row>
    <row r="2">
      <c r="A2" s="2" t="inlineStr">
        <is>
          <t>Preencha as células VERDES. As AMARELAS calculam sozinhas.</t>
        </is>
      </c>
    </row>
    <row r="3">
      <c r="A3" s="3" t="inlineStr">
        <is>
          <t>Verde = você preenche</t>
        </is>
      </c>
      <c r="B3" s="4" t="inlineStr">
        <is>
          <t>Amarelo = calculado automaticamente</t>
        </is>
      </c>
    </row>
    <row r="4" ht="22" customHeight="1">
      <c r="A4" s="5" t="inlineStr">
        <is>
          <t>1. CUSTO FIXO MENSAL</t>
        </is>
      </c>
    </row>
    <row r="5">
      <c r="A5" s="6" t="inlineStr">
        <is>
          <t>Item</t>
        </is>
      </c>
      <c r="B5" s="6" t="inlineStr">
        <is>
          <t>Descrição</t>
        </is>
      </c>
      <c r="C5" s="6" t="inlineStr">
        <is>
          <t>Valor R$</t>
        </is>
      </c>
      <c r="D5" s="6" t="inlineStr">
        <is>
          <t>Observação</t>
        </is>
      </c>
    </row>
    <row r="6">
      <c r="A6" s="7" t="inlineStr">
        <is>
          <t>DAS-MEI</t>
        </is>
      </c>
      <c r="B6" s="8" t="inlineStr">
        <is>
          <t>Boleto mensal MEI 2026</t>
        </is>
      </c>
      <c r="C6" s="9" t="n">
        <v>79.90000000000001</v>
      </c>
      <c r="D6" s="10" t="inlineStr">
        <is>
          <t>Valor médio 2026</t>
        </is>
      </c>
    </row>
    <row r="7">
      <c r="A7" s="7" t="inlineStr">
        <is>
          <t>Aluguel</t>
        </is>
      </c>
      <c r="B7" s="8" t="inlineStr">
        <is>
          <t>Casa, sala ou ponto (use % se atua em casa)</t>
        </is>
      </c>
      <c r="C7" s="9" t="n">
        <v>0</v>
      </c>
      <c r="D7" s="10" t="inlineStr">
        <is>
          <t>10-20% das contas se em casa</t>
        </is>
      </c>
    </row>
    <row r="8">
      <c r="A8" s="7" t="inlineStr">
        <is>
          <t>Internet</t>
        </is>
      </c>
      <c r="B8" s="8" t="inlineStr">
        <is>
          <t>Plano de internet do negócio</t>
        </is>
      </c>
      <c r="C8" s="9" t="n">
        <v>50</v>
      </c>
      <c r="D8" s="10" t="inlineStr">
        <is>
          <t>30-50% do total se em casa</t>
        </is>
      </c>
    </row>
    <row r="9">
      <c r="A9" s="7" t="inlineStr">
        <is>
          <t>Telefone</t>
        </is>
      </c>
      <c r="B9" s="8" t="inlineStr">
        <is>
          <t>Celular usado no negócio</t>
        </is>
      </c>
      <c r="C9" s="9" t="n">
        <v>40</v>
      </c>
      <c r="D9" s="10" t="inlineStr"/>
    </row>
    <row r="10">
      <c r="A10" s="7" t="inlineStr">
        <is>
          <t>Software</t>
        </is>
      </c>
      <c r="B10" s="8" t="inlineStr">
        <is>
          <t>Bling, Conta Azul, Notion, CRM…</t>
        </is>
      </c>
      <c r="C10" s="9" t="n">
        <v>0</v>
      </c>
      <c r="D10" s="10" t="inlineStr">
        <is>
          <t>Some tudo que usa</t>
        </is>
      </c>
    </row>
    <row r="11">
      <c r="A11" s="7" t="inlineStr">
        <is>
          <t>Energia/água</t>
        </is>
      </c>
      <c r="B11" s="8" t="inlineStr">
        <is>
          <t>% das contas se trabalha em casa</t>
        </is>
      </c>
      <c r="C11" s="9" t="n">
        <v>0</v>
      </c>
      <c r="D11" s="10" t="inlineStr">
        <is>
          <t>10-20% do total</t>
        </is>
      </c>
    </row>
    <row r="12">
      <c r="A12" s="7" t="inlineStr">
        <is>
          <t>Contador</t>
        </is>
      </c>
      <c r="B12" s="8" t="inlineStr">
        <is>
          <t>Mensalidade (R$ 0 p/ MEI puro)</t>
        </is>
      </c>
      <c r="C12" s="9" t="n">
        <v>0</v>
      </c>
      <c r="D12" s="10" t="inlineStr">
        <is>
          <t>ME = R$ 200-500</t>
        </is>
      </c>
    </row>
    <row r="13">
      <c r="A13" s="7" t="inlineStr">
        <is>
          <t>Pró-labore</t>
        </is>
      </c>
      <c r="B13" s="8" t="inlineStr">
        <is>
          <t>Seu salário fixo (retirada PF)</t>
        </is>
      </c>
      <c r="C13" s="9" t="n">
        <v>3000</v>
      </c>
      <c r="D13" s="10" t="inlineStr">
        <is>
          <t>Quanto precisa ganhar/mês</t>
        </is>
      </c>
    </row>
    <row r="14">
      <c r="A14" s="7" t="inlineStr">
        <is>
          <t>Reserva</t>
        </is>
      </c>
      <c r="B14" s="8" t="inlineStr">
        <is>
          <t>Provisão imprevisto (~10% do total)</t>
        </is>
      </c>
      <c r="C14" s="9" t="n">
        <v>320</v>
      </c>
      <c r="D14" s="10" t="inlineStr">
        <is>
          <t>NÃO PULE</t>
        </is>
      </c>
    </row>
    <row r="15">
      <c r="A15" s="11" t="inlineStr">
        <is>
          <t>SOMA CUSTO FIXO MENSAL</t>
        </is>
      </c>
      <c r="B15" s="8" t="inlineStr">
        <is>
          <t>Soma automática dos itens acima</t>
        </is>
      </c>
      <c r="C15" s="12">
        <f>SUM(C6:C14)</f>
        <v/>
      </c>
      <c r="D15" s="10" t="inlineStr"/>
    </row>
    <row r="17" ht="22" customHeight="1">
      <c r="A17" s="5" t="inlineStr">
        <is>
          <t>2. CUSTO HORA</t>
        </is>
      </c>
    </row>
    <row r="18">
      <c r="A18" s="7" t="inlineStr">
        <is>
          <t>Horas trabalhadas/mês</t>
        </is>
      </c>
      <c r="B18" s="8" t="inlineStr">
        <is>
          <t>Quanto você efetivamente trabalha</t>
        </is>
      </c>
      <c r="C18" s="13" t="n">
        <v>160</v>
      </c>
      <c r="D18" s="10" t="inlineStr">
        <is>
          <t>40h/sem x 4 = 160h</t>
        </is>
      </c>
    </row>
    <row r="19">
      <c r="A19" s="7" t="inlineStr">
        <is>
          <t>Custo hora</t>
        </is>
      </c>
      <c r="B19" s="8" t="inlineStr">
        <is>
          <t>Custo fixo ÷ horas</t>
        </is>
      </c>
      <c r="C19" s="12">
        <f>C15/C18</f>
        <v/>
      </c>
      <c r="D19" s="10" t="inlineStr">
        <is>
          <t>Quanto custa 1h sua</t>
        </is>
      </c>
    </row>
    <row r="21" ht="22" customHeight="1">
      <c r="A21" s="5" t="inlineStr">
        <is>
          <t>3. CUSTO POR PRODUTO / SERVIÇO</t>
        </is>
      </c>
    </row>
    <row r="22">
      <c r="A22" s="7" t="inlineStr">
        <is>
          <t>Produto/Serviço</t>
        </is>
      </c>
      <c r="B22" s="8" t="inlineStr">
        <is>
          <t>Nome do que está precificando</t>
        </is>
      </c>
      <c r="C22" s="13" t="inlineStr">
        <is>
          <t>Ex: Corte de cabelo</t>
        </is>
      </c>
      <c r="D22" s="10" t="inlineStr"/>
    </row>
    <row r="23">
      <c r="A23" s="7" t="inlineStr">
        <is>
          <t>Custo material/insumos (unid.)</t>
        </is>
      </c>
      <c r="B23" s="8" t="inlineStr">
        <is>
          <t>Tudo que gastou p/ produzir 1 unidade</t>
        </is>
      </c>
      <c r="C23" s="9" t="n">
        <v>15</v>
      </c>
      <c r="D23" s="10" t="inlineStr"/>
    </row>
    <row r="24">
      <c r="A24" s="7" t="inlineStr">
        <is>
          <t>Tempo de produção (min)</t>
        </is>
      </c>
      <c r="B24" s="8" t="inlineStr">
        <is>
          <t>Minutos p/ fazer/entregar 1 unidade</t>
        </is>
      </c>
      <c r="C24" s="13" t="n">
        <v>45</v>
      </c>
      <c r="D24" s="10" t="inlineStr"/>
    </row>
    <row r="25">
      <c r="A25" s="7" t="inlineStr">
        <is>
          <t>Custo do tempo</t>
        </is>
      </c>
      <c r="B25" s="8" t="inlineStr">
        <is>
          <t>(minutos × custo hora) ÷ 60</t>
        </is>
      </c>
      <c r="C25" s="12">
        <f>(C24*C19)/60</f>
        <v/>
      </c>
      <c r="D25" s="10" t="inlineStr"/>
    </row>
    <row r="26">
      <c r="A26" s="11" t="inlineStr">
        <is>
          <t>CUSTO TOTAL UNITÁRIO</t>
        </is>
      </c>
      <c r="B26" s="8" t="inlineStr">
        <is>
          <t>Material + tempo</t>
        </is>
      </c>
      <c r="C26" s="12">
        <f>C23+C25</f>
        <v/>
      </c>
      <c r="D26" s="10" t="inlineStr"/>
    </row>
    <row r="28" ht="22" customHeight="1">
      <c r="A28" s="5" t="inlineStr">
        <is>
          <t>4. PREÇO DE VENDA</t>
        </is>
      </c>
    </row>
    <row r="29">
      <c r="A29" s="7" t="inlineStr">
        <is>
          <t>Margem desejada</t>
        </is>
      </c>
      <c r="B29" s="8" t="inlineStr">
        <is>
          <t>40-60% serviço / 50-80% produto / 70-90% online</t>
        </is>
      </c>
      <c r="C29" s="14" t="n">
        <v>0.6</v>
      </c>
      <c r="D29" s="10" t="inlineStr"/>
    </row>
    <row r="30">
      <c r="A30" s="7" t="inlineStr">
        <is>
          <t>Preço sem impostos</t>
        </is>
      </c>
      <c r="B30" s="8" t="inlineStr">
        <is>
          <t>Custo × (1 + margem)</t>
        </is>
      </c>
      <c r="C30" s="12">
        <f>C26*(1+C29)</f>
        <v/>
      </c>
      <c r="D30" s="10" t="inlineStr"/>
    </row>
    <row r="31">
      <c r="A31" s="7" t="inlineStr">
        <is>
          <t>Impostos sobre venda</t>
        </is>
      </c>
      <c r="B31" s="8" t="inlineStr">
        <is>
          <t>% (MEI = 0%; ME = 6-19%)</t>
        </is>
      </c>
      <c r="C31" s="14" t="n">
        <v>0</v>
      </c>
      <c r="D31" s="10" t="inlineStr">
        <is>
          <t>Depende do CNAE</t>
        </is>
      </c>
    </row>
    <row r="32">
      <c r="A32" s="11" t="inlineStr">
        <is>
          <t>PREÇO FINAL ao cliente</t>
        </is>
      </c>
      <c r="B32" s="8" t="inlineStr">
        <is>
          <t>Preço ÷ (1 - imposto%)</t>
        </is>
      </c>
      <c r="C32" s="12">
        <f>C30/(1-C31)</f>
        <v/>
      </c>
      <c r="D32" s="10" t="inlineStr"/>
    </row>
    <row r="33">
      <c r="A33" s="7" t="inlineStr">
        <is>
          <t>Arredondar para</t>
        </is>
      </c>
      <c r="B33" s="8" t="inlineStr">
        <is>
          <t>Cosmético: termina em 9 vende mais</t>
        </is>
      </c>
      <c r="C33" s="12">
        <f>ROUND(C32,0)</f>
        <v/>
      </c>
      <c r="D33" s="10" t="inlineStr">
        <is>
          <t>Ajuste manual se quiser</t>
        </is>
      </c>
    </row>
    <row r="35" ht="22" customHeight="1">
      <c r="A35" s="5" t="inlineStr">
        <is>
          <t>5. ANÁLISE DE CENÁRIOS</t>
        </is>
      </c>
    </row>
    <row r="36">
      <c r="A36" s="7" t="inlineStr">
        <is>
          <t>Vendas/mês p/ empatar</t>
        </is>
      </c>
      <c r="B36" s="8" t="inlineStr">
        <is>
          <t>Custo fixo ÷ margem por unidade</t>
        </is>
      </c>
      <c r="C36" s="15">
        <f>C15/(C32-C26)</f>
        <v/>
      </c>
      <c r="D36" s="10" t="inlineStr">
        <is>
          <t>Ponto de equilíbrio</t>
        </is>
      </c>
    </row>
    <row r="37">
      <c r="A37" s="7" t="inlineStr">
        <is>
          <t>Vendas/mês desejadas</t>
        </is>
      </c>
      <c r="B37" s="8" t="inlineStr">
        <is>
          <t>Sua meta de vendas</t>
        </is>
      </c>
      <c r="C37" s="16" t="n">
        <v>300</v>
      </c>
      <c r="D37" s="10" t="inlineStr"/>
    </row>
    <row r="38">
      <c r="A38" s="7" t="inlineStr">
        <is>
          <t>Receita prevista</t>
        </is>
      </c>
      <c r="B38" s="8" t="inlineStr">
        <is>
          <t>Vendas × preço final</t>
        </is>
      </c>
      <c r="C38" s="12">
        <f>C37*C32</f>
        <v/>
      </c>
      <c r="D38" s="10" t="inlineStr"/>
    </row>
    <row r="39">
      <c r="A39" s="11" t="inlineStr">
        <is>
          <t>Lucro previsto</t>
        </is>
      </c>
      <c r="B39" s="8" t="inlineStr">
        <is>
          <t>Receita - custo fixo - (custo unit × vendas)</t>
        </is>
      </c>
      <c r="C39" s="12">
        <f>C38-C15-(C26*C37)</f>
        <v/>
      </c>
      <c r="D39" s="10" t="inlineStr"/>
    </row>
    <row r="41" ht="22" customHeight="1">
      <c r="A41" s="5" t="inlineStr">
        <is>
          <t>6. CHECKLIST ANTES DE VENDER</t>
        </is>
      </c>
    </row>
    <row r="42">
      <c r="A42" s="17" t="inlineStr">
        <is>
          <t>[ ] Calculei TODOS os custos fixos (incl. aluguel parcial)</t>
        </is>
      </c>
    </row>
    <row r="43">
      <c r="A43" s="17" t="inlineStr">
        <is>
          <t>[ ] Inclui meu pró-labore como custo (negócio não é caridade)</t>
        </is>
      </c>
    </row>
    <row r="44">
      <c r="A44" s="17" t="inlineStr">
        <is>
          <t>[ ] Conferi a margem mínima do meu setor</t>
        </is>
      </c>
    </row>
    <row r="45">
      <c r="A45" s="17" t="inlineStr">
        <is>
          <t>[ ] Testei o preço com 5 pessoas ('achei caro mas vale')</t>
        </is>
      </c>
    </row>
    <row r="46">
      <c r="A46" s="17" t="inlineStr">
        <is>
          <t>[ ] Defini desconto máximo (sug. 10%) que ainda dá lucro</t>
        </is>
      </c>
    </row>
    <row r="47">
      <c r="A47" s="17" t="inlineStr">
        <is>
          <t>[ ] Tenho regra de aumento anual (sug. 10% acima da inflação)</t>
        </is>
      </c>
    </row>
    <row r="49" ht="22" customHeight="1">
      <c r="A49" s="5" t="inlineStr">
        <is>
          <t>7. NOTAS</t>
        </is>
      </c>
    </row>
    <row r="50" ht="26" customHeight="1">
      <c r="A50" s="18" t="inlineStr">
        <is>
          <t>Custo de oportunidade: quanto ganharia fazendo OUTRA coisa? Se cobra menos que isso, melhor parar.</t>
        </is>
      </c>
    </row>
    <row r="51" ht="26" customHeight="1">
      <c r="A51" s="18" t="inlineStr">
        <is>
          <t>Concorrente é referência APENAS depois de calcular o SEU custo — nunca a base.</t>
        </is>
      </c>
    </row>
    <row r="52" ht="26" customHeight="1">
      <c r="A52" s="18" t="inlineStr">
        <is>
          <t>Aumente o preço TODO ANO. Não aumentar = perder p/ a inflação silenciosamente.</t>
        </is>
      </c>
    </row>
    <row r="54">
      <c r="A54" s="19" t="inlineStr">
        <is>
          <t>Anderson Cruz · 10+ anos construindo negócios na prática · Facilita Distribuidora</t>
        </is>
      </c>
    </row>
    <row r="55">
      <c r="A55" s="20" t="inlineStr">
        <is>
          <t>© 2026 Negócio no Azul · anderson@facilitadistribuidora.com</t>
        </is>
      </c>
    </row>
  </sheetData>
  <mergeCells count="20">
    <mergeCell ref="A17:D17"/>
    <mergeCell ref="A35:D35"/>
    <mergeCell ref="A4:D4"/>
    <mergeCell ref="A52:D52"/>
    <mergeCell ref="A43:D43"/>
    <mergeCell ref="A28:D28"/>
    <mergeCell ref="A44:D44"/>
    <mergeCell ref="A49:D49"/>
    <mergeCell ref="A51:D51"/>
    <mergeCell ref="A1:D1"/>
    <mergeCell ref="A45:D45"/>
    <mergeCell ref="A54:D54"/>
    <mergeCell ref="A41:D41"/>
    <mergeCell ref="A46:D46"/>
    <mergeCell ref="A50:D50"/>
    <mergeCell ref="A21:D21"/>
    <mergeCell ref="A55:D55"/>
    <mergeCell ref="A2:D2"/>
    <mergeCell ref="A47:D47"/>
    <mergeCell ref="A42:D4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2026-07-02T01:45:24Z</dcterms:created>
  <dcterms:modified xmlns:dcterms="http://purl.org/dc/terms/" xmlns:xsi="http://www.w3.org/2001/XMLSchema-instance" xsi:type="dcterms:W3CDTF">2026-07-02T01:45:24Z</dcterms:modified>
</cp:coreProperties>
</file>